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040" activeTab="3"/>
  </bookViews>
  <sheets>
    <sheet name="A̳ssets" sheetId="1" r:id="rId1"/>
    <sheet name="B̳ases" sheetId="2" r:id="rId2"/>
    <sheet name="C̳álculos" sheetId="3" r:id="rId3"/>
    <sheet name="D̳ashboard" sheetId="4" r:id="rId4"/>
  </sheets>
  <calcPr calcId="124519" forceFullCalc="1"/>
</workbook>
</file>

<file path=xl/calcChain.xml><?xml version="1.0" encoding="utf-8"?>
<calcChain xmlns="http://schemas.openxmlformats.org/spreadsheetml/2006/main">
  <c r="D34" i="4"/>
  <c r="D33"/>
  <c r="L32"/>
  <c r="D32"/>
  <c r="D14"/>
  <c r="K13"/>
  <c r="D13"/>
  <c r="K12"/>
  <c r="D12"/>
  <c r="C8"/>
  <c r="C19" i="3"/>
  <c r="O8" i="4" s="1"/>
  <c r="C15" i="3"/>
  <c r="K8" i="4" s="1"/>
  <c r="C11" i="3"/>
  <c r="L13" i="4" s="1"/>
  <c r="C10" i="3"/>
  <c r="L12" i="4" s="1"/>
  <c r="C5" i="3"/>
  <c r="G8" i="4" s="1"/>
  <c r="L36" l="1"/>
</calcChain>
</file>

<file path=xl/sharedStrings.xml><?xml version="1.0" encoding="utf-8"?>
<sst xmlns="http://schemas.openxmlformats.org/spreadsheetml/2006/main" count="2029" uniqueCount="339">
  <si>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</si>
  <si>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</si>
  <si>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</si>
  <si>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</si>
  <si>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</si>
  <si>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</si>
  <si>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</si>
  <si>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</si>
  <si>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</si>
  <si>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</si>
  <si>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</si>
  <si>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</si>
  <si>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</si>
  <si>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</si>
  <si>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</si>
  <si>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</si>
  <si>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</si>
  <si>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</si>
  <si>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</si>
  <si>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</si>
  <si>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</si>
  <si>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</si>
  <si>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</si>
  <si>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</si>
  <si>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</si>
  <si>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</si>
  <si>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</si>
  <si>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</si>
  <si>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</si>
  <si>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</si>
  <si>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</si>
  <si>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</si>
  <si>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</si>
  <si>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</si>
  <si>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</si>
  <si>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</si>
  <si>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</si>
  <si>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</si>
  <si>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</si>
  <si>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</si>
  <si>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</si>
  <si>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</si>
  <si>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</si>
  <si>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</si>
  <si>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</si>
  <si>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</si>
  <si>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</si>
  <si>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</si>
  <si>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</si>
  <si>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</si>
  <si>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</si>
  <si>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</si>
  <si>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</si>
  <si>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</si>
  <si>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</si>
  <si>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</si>
  <si>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</si>
  <si>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</si>
  <si>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</si>
  <si>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</si>
  <si>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</si>
  <si>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</si>
  <si>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</si>
  <si>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</si>
  <si>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</si>
  <si>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</si>
  <si>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</si>
  <si>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</si>
  <si>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</si>
  <si>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</si>
  <si>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</si>
  <si>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</si>
  <si>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</si>
  <si>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</si>
  <si>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</si>
  <si>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</si>
  <si>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</si>
  <si>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</si>
  <si>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</si>
  <si>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</si>
  <si>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</si>
  <si>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</si>
  <si>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</si>
  <si>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</si>
  <si>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</si>
  <si>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</si>
  <si>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</si>
  <si>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</si>
  <si>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</si>
  <si>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</si>
  <si>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</si>
  <si>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</si>
  <si>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</si>
  <si>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</si>
  <si>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</si>
  <si>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</si>
  <si>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</si>
  <si>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</si>
  <si>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</si>
  <si>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</si>
  <si>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</si>
  <si>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</si>
  <si>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</si>
  <si>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</si>
  <si>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</si>
  <si>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</si>
  <si>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</si>
  <si>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</si>
  <si>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</si>
  <si>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</si>
  <si>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</si>
  <si>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</si>
  <si>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</si>
  <si>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</si>
  <si>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</si>
  <si>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</si>
  <si>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</si>
  <si>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</si>
  <si>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</si>
  <si>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</si>
  <si>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</si>
  <si>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</si>
  <si>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</si>
  <si>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</si>
  <si>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</si>
  <si>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</si>
  <si>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</si>
  <si>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</si>
  <si>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</si>
  <si>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</si>
  <si>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</si>
  <si>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</si>
  <si>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</si>
  <si>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</si>
  <si>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</si>
  <si>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</si>
  <si>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</si>
  <si>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</si>
  <si>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</si>
  <si>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</si>
  <si>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</si>
  <si>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</si>
  <si>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</si>
  <si>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</si>
  <si>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</si>
  <si>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</si>
  <si>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</si>
  <si>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</si>
  <si>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</si>
  <si>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</si>
  <si>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</si>
  <si>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</si>
  <si>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</si>
  <si>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</si>
  <si>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</si>
  <si>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</si>
  <si>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</si>
  <si>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</si>
  <si>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</si>
  <si>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</si>
  <si>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</si>
  <si>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</si>
  <si>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</si>
  <si>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</si>
  <si>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</si>
  <si>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</si>
  <si>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</si>
  <si>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</si>
  <si>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</si>
  <si>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</si>
  <si>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</si>
  <si>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</si>
  <si>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</si>
  <si>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</si>
  <si>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</si>
  <si>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</si>
  <si>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</si>
  <si>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</si>
  <si>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</si>
  <si>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</si>
  <si>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</si>
  <si>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</si>
  <si>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</si>
  <si>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</si>
  <si>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</si>
  <si>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</si>
  <si>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</si>
  <si>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</si>
  <si>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</si>
  <si>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</si>
  <si>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</si>
  <si>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</si>
  <si>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</si>
  <si>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</si>
  <si>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</si>
  <si>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</si>
  <si>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</si>
  <si>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</si>
  <si>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</si>
  <si>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</si>
  <si>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</si>
  <si>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</si>
  <si>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</si>
  <si>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</si>
  <si>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</si>
  <si>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</si>
  <si>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</si>
  <si>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</si>
  <si>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</si>
  <si>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</si>
  <si>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</si>
  <si>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</si>
  <si>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</si>
  <si>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</si>
  <si>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</si>
  <si>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</si>
  <si>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</si>
  <si>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</si>
  <si>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</si>
  <si>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</si>
  <si>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</si>
  <si>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</si>
  <si>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</si>
  <si>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</si>
  <si>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</si>
  <si>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</si>
  <si>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</si>
  <si>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</si>
  <si>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</si>
  <si>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</si>
  <si>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</si>
  <si>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</si>
  <si>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</si>
  <si>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</si>
  <si>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</si>
  <si>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</si>
  <si>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</si>
  <si>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</si>
  <si>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</si>
  <si>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</si>
  <si>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</si>
  <si>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</si>
  <si>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</si>
  <si>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</si>
  <si>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</si>
  <si>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</si>
  <si>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</si>
  <si>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</si>
  <si>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</si>
  <si>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</si>
  <si>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</si>
  <si>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</si>
  <si>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</si>
  <si>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</si>
  <si>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</si>
  <si>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</si>
  <si>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</si>
  <si>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</si>
  <si>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</si>
  <si>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</si>
  <si>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</si>
  <si>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</si>
  <si>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</si>
  <si>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</si>
  <si>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</si>
  <si>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</si>
  <si>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</si>
  <si>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</si>
  <si>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</si>
  <si>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</si>
  <si>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</si>
  <si>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</si>
  <si>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</si>
  <si>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</si>
  <si>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</si>
  <si>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</si>
  <si>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</si>
  <si>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</si>
  <si>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</si>
  <si>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</si>
  <si>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</si>
  <si>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</si>
  <si>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</si>
  <si>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</si>
  <si>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</si>
  <si>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</si>
  <si>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</si>
  <si>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</si>
  <si>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</si>
  <si>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</si>
  <si>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</si>
  <si>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</si>
  <si>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</si>
  <si>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</si>
  <si>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</si>
  <si>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</si>
  <si>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</si>
  <si>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</si>
  <si>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</si>
  <si>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</si>
  <si>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</si>
  <si>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</si>
  <si>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</si>
  <si>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</si>
  <si>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</si>
  <si>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</si>
  <si>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</si>
  <si>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</si>
  <si>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</si>
  <si>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</si>
  <si>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</si>
  <si>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</si>
  <si>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</si>
  <si>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PERGUNTAS DE NEGÓCIO</t>
  </si>
  <si>
    <t>Pergunta 1 - Qual é o faturamento total das vendas de planos anuais?</t>
  </si>
  <si>
    <t>Faturamento de Planos Anuais</t>
  </si>
  <si>
    <t>Pergunta 2 - Como o faturamento dos planos anuais se divide entre clientes com e sem renovação automática?</t>
  </si>
  <si>
    <t>Faturamento</t>
  </si>
  <si>
    <t>Pergunta 3 - Qual é o faturamento total das assinaturas do EA Play?</t>
  </si>
  <si>
    <t>Faturamento EA Play</t>
  </si>
  <si>
    <t>Pergunta 4 - Qual é o faturamento total das assinaturas do Minecraft Season Pass?</t>
  </si>
  <si>
    <t>Faturamento Minecraft Season Pass</t>
  </si>
  <si>
    <t>XBOX GAME PASS SUBSCRIPTIONS SALES</t>
  </si>
  <si>
    <t>Visão geral das vendas e dos adicionais — base 2024</t>
  </si>
  <si>
    <t>FATURAMENTO TOTAL</t>
  </si>
  <si>
    <t>PLANOS ANUAIS</t>
  </si>
  <si>
    <t>EA PLAY</t>
  </si>
  <si>
    <t>MINECRAFT</t>
  </si>
  <si>
    <t>DASHBOARD</t>
  </si>
  <si>
    <t>FATURAMENTO POR PLANO</t>
  </si>
  <si>
    <t>PLANOS ANUAIS × AUTO RENEWAL</t>
  </si>
  <si>
    <t>VENDAS</t>
  </si>
  <si>
    <t>PLANOS</t>
  </si>
  <si>
    <t>FATURAMENTO POR TIPO DE ASSINATURA</t>
  </si>
  <si>
    <t>INDICADORES</t>
  </si>
  <si>
    <t>Total de assinaturas</t>
  </si>
  <si>
    <t>Plano com maior faturamento</t>
  </si>
  <si>
    <t>EA Play + Minecraft</t>
  </si>
  <si>
    <t>Dashboard desenvolvido em Excel 2007 • Valores calculados a partir da base de dados fornecida</t>
  </si>
</sst>
</file>

<file path=xl/styles.xml><?xml version="1.0" encoding="utf-8"?>
<styleSheet xmlns="http://schemas.openxmlformats.org/spreadsheetml/2006/main">
  <numFmts count="2">
    <numFmt numFmtId="44" formatCode="_-&quot;R$&quot;\ * #,##0.00_-;\-&quot;R$&quot;\ * #,##0.00_-;_-&quot;R$&quot;\ * &quot;-&quot;??_-;_-@_-"/>
    <numFmt numFmtId="164" formatCode="\R\$\ #,##0.00"/>
  </numFmts>
  <fonts count="1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Calibri"/>
    </font>
    <font>
      <b/>
      <sz val="11"/>
      <color rgb="FF107C10"/>
      <name val="Calibri"/>
    </font>
    <font>
      <b/>
      <sz val="11"/>
      <color rgb="FFFFFFFF"/>
      <name val="Aptos Narrow"/>
    </font>
    <font>
      <b/>
      <sz val="10"/>
      <color rgb="FFFFFFFF"/>
      <name val="Calibri"/>
    </font>
    <font>
      <b/>
      <sz val="20"/>
      <color rgb="FF107C10"/>
      <name val="Calibri"/>
    </font>
    <font>
      <i/>
      <sz val="10"/>
      <color rgb="FF666666"/>
      <name val="Calibri"/>
    </font>
    <font>
      <b/>
      <sz val="10"/>
      <color rgb="FF666666"/>
      <name val="Calibri"/>
    </font>
    <font>
      <b/>
      <sz val="18"/>
      <color rgb="FF107C10"/>
      <name val="Calibri"/>
    </font>
    <font>
      <sz val="10"/>
      <color rgb="FF263238"/>
      <name val="Calibri"/>
    </font>
    <font>
      <i/>
      <sz val="9"/>
      <color rgb="FF777777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107C10"/>
      </patternFill>
    </fill>
    <fill>
      <patternFill patternType="solid">
        <fgColor rgb="FF5B9E48"/>
      </patternFill>
    </fill>
    <fill>
      <patternFill patternType="solid">
        <fgColor rgb="FFF7F7F7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9BC848"/>
      </left>
      <right style="thin">
        <color rgb="FF9BC848"/>
      </right>
      <top style="thin">
        <color rgb="FF9BC848"/>
      </top>
      <bottom/>
      <diagonal/>
    </border>
    <border>
      <left/>
      <right/>
      <top style="thin">
        <color rgb="FF9BC848"/>
      </top>
      <bottom/>
      <diagonal/>
    </border>
    <border>
      <left style="thin">
        <color rgb="FF9BC848"/>
      </left>
      <right/>
      <top/>
      <bottom/>
      <diagonal/>
    </border>
    <border>
      <left/>
      <right style="thin">
        <color rgb="FF9BC848"/>
      </right>
      <top style="thin">
        <color rgb="FF9BC848"/>
      </top>
      <bottom/>
      <diagonal/>
    </border>
    <border>
      <left/>
      <right style="thin">
        <color rgb="FF9BC848"/>
      </right>
      <top/>
      <bottom/>
      <diagonal/>
    </border>
    <border>
      <left style="thin">
        <color rgb="FF9BC848"/>
      </left>
      <right style="thin">
        <color rgb="FF9BC848"/>
      </right>
      <top/>
      <bottom style="thin">
        <color rgb="FF9BC848"/>
      </bottom>
      <diagonal/>
    </border>
    <border>
      <left style="thin">
        <color rgb="FF9BC848"/>
      </left>
      <right/>
      <top/>
      <bottom style="thin">
        <color rgb="FF9BC848"/>
      </bottom>
      <diagonal/>
    </border>
    <border>
      <left/>
      <right/>
      <top/>
      <bottom style="thin">
        <color rgb="FF9BC848"/>
      </bottom>
      <diagonal/>
    </border>
    <border>
      <left/>
      <right style="thin">
        <color rgb="FF9BC848"/>
      </right>
      <top/>
      <bottom style="thin">
        <color rgb="FF9BC848"/>
      </bottom>
      <diagonal/>
    </border>
  </borders>
  <cellStyleXfs count="3">
    <xf numFmtId="0" fontId="0" fillId="0" borderId="0"/>
    <xf numFmtId="0" fontId="1" fillId="0" borderId="1"/>
    <xf numFmtId="44" fontId="2" fillId="0" borderId="0"/>
  </cellStyleXfs>
  <cellXfs count="3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164" fontId="0" fillId="0" borderId="0" xfId="0" applyNumberFormat="1"/>
    <xf numFmtId="0" fontId="6" fillId="9" borderId="0" xfId="0" applyFont="1" applyFill="1"/>
    <xf numFmtId="0" fontId="0" fillId="8" borderId="0" xfId="0" applyFill="1"/>
    <xf numFmtId="0" fontId="0" fillId="10" borderId="0" xfId="0" applyFill="1"/>
    <xf numFmtId="0" fontId="5" fillId="10" borderId="0" xfId="0" applyFont="1" applyFill="1"/>
    <xf numFmtId="164" fontId="0" fillId="10" borderId="0" xfId="0" applyNumberFormat="1" applyFill="1"/>
    <xf numFmtId="0" fontId="12" fillId="10" borderId="0" xfId="0" applyFont="1" applyFill="1"/>
    <xf numFmtId="164" fontId="5" fillId="10" borderId="0" xfId="0" applyNumberFormat="1" applyFont="1" applyFill="1"/>
    <xf numFmtId="0" fontId="5" fillId="0" borderId="0" xfId="0" applyFont="1"/>
    <xf numFmtId="0" fontId="0" fillId="0" borderId="0" xfId="0"/>
    <xf numFmtId="0" fontId="4" fillId="8" borderId="0" xfId="0" applyFont="1" applyFill="1"/>
    <xf numFmtId="0" fontId="8" fillId="10" borderId="0" xfId="0" applyFont="1" applyFill="1" applyAlignment="1">
      <alignment horizontal="left" vertical="center"/>
    </xf>
    <xf numFmtId="0" fontId="13" fillId="10" borderId="0" xfId="0" applyFont="1" applyFill="1" applyAlignment="1">
      <alignment horizontal="center" vertical="center"/>
    </xf>
    <xf numFmtId="0" fontId="10" fillId="11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5" fillId="10" borderId="0" xfId="0" applyFont="1" applyFill="1"/>
    <xf numFmtId="164" fontId="11" fillId="11" borderId="7" xfId="0" applyNumberFormat="1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7" fillId="8" borderId="0" xfId="0" applyFont="1" applyFill="1" applyAlignment="1">
      <alignment horizontal="center" vertical="center"/>
    </xf>
    <xf numFmtId="0" fontId="9" fillId="10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wrapText="1" indent="0" relativeIndent="255"/>
    </dxf>
    <dxf>
      <alignment horizontal="center" vertical="center" wrapText="1" indent="0" relativeIndent="255"/>
    </dxf>
    <dxf>
      <alignment horizontal="center" vertical="center" wrapText="1" indent="0" relativeIndent="255"/>
    </dxf>
    <dxf>
      <alignment horizontal="center" vertical="center" wrapText="1" indent="0" relativeIndent="255"/>
    </dxf>
    <dxf>
      <alignment horizontal="center" vertical="center" wrapText="1" indent="0" relativeIndent="255"/>
    </dxf>
    <dxf>
      <alignment horizontal="center" vertical="center" wrapText="1" indent="0" relativeIndent="255"/>
    </dxf>
    <dxf>
      <alignment horizontal="center" vertical="center" wrapText="1" indent="0" relativeIndent="255"/>
    </dxf>
    <dxf>
      <alignment horizontal="center" vertical="center" wrapText="1" indent="0" relativeIndent="255"/>
    </dxf>
    <dxf>
      <alignment horizontal="center" vertical="center" wrapText="1" indent="0" relativeIndent="255"/>
    </dxf>
    <dxf>
      <alignment horizontal="center" vertical="center" wrapText="1" indent="0" relativeIndent="255"/>
    </dxf>
    <dxf>
      <alignment horizontal="center" vertical="center" wrapText="1" indent="0" relativeIndent="255"/>
    </dxf>
    <dxf>
      <alignment horizontal="center" vertical="center" wrapText="1" indent="0" relativeIndent="255"/>
    </dxf>
    <dxf>
      <alignment horizontal="center" vertical="center" wrapText="1" indent="0" relativeIndent="255"/>
    </dxf>
    <dxf>
      <alignment horizontal="center" vertical="center" wrapText="1" indent="0" relativeIndent="255"/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Faturamento por Plano</a:t>
            </a:r>
          </a:p>
        </c:rich>
      </c:tx>
      <c:layout/>
    </c:title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D̳ashboard!$C$12:$C$14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D̳ashboard!$D$11:$D$14</c:f>
              <c:numCache>
                <c:formatCode>\R\$\ #,##0.00</c:formatCode>
                <c:ptCount val="4"/>
                <c:pt idx="1">
                  <c:v>444</c:v>
                </c:pt>
                <c:pt idx="2">
                  <c:v>1801</c:v>
                </c:pt>
                <c:pt idx="3">
                  <c:v>5388</c:v>
                </c:pt>
              </c:numCache>
            </c:numRef>
          </c:val>
        </c:ser>
        <c:axId val="105030400"/>
        <c:axId val="105032704"/>
      </c:barChart>
      <c:catAx>
        <c:axId val="105030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Plano</a:t>
                </a:r>
              </a:p>
            </c:rich>
          </c:tx>
          <c:layout/>
        </c:title>
        <c:majorTickMark val="none"/>
        <c:tickLblPos val="nextTo"/>
        <c:crossAx val="105032704"/>
        <c:crosses val="autoZero"/>
        <c:lblAlgn val="ctr"/>
        <c:lblOffset val="100"/>
      </c:catAx>
      <c:valAx>
        <c:axId val="105032704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Valor (R$)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05030400"/>
        <c:crosses val="autoZero"/>
        <c:crossBetween val="between"/>
      </c:valAx>
    </c:plotArea>
    <c:plotVisOnly val="1"/>
    <c:dispBlanksAs val="gap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/>
              <a:t>Anuais: Auto Renewal</a:t>
            </a:r>
          </a:p>
        </c:rich>
      </c:tx>
      <c:layout/>
    </c:title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howPercent val="1"/>
          </c:dLbls>
          <c:cat>
            <c:strRef>
              <c:f>D̳ashboard!$K$12:$K$13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D̳ashboard!$L$12:$L$13</c:f>
              <c:numCache>
                <c:formatCode>\R\$\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/>
    </c:legend>
    <c:plotVisOnly val="1"/>
    <c:dispBlanksAs val="zero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11"/>
  <c:chart>
    <c:title>
      <c:tx>
        <c:rich>
          <a:bodyPr/>
          <a:lstStyle/>
          <a:p>
            <a:pPr>
              <a:defRPr/>
            </a:pPr>
            <a:r>
              <a:rPr lang="pt-BR"/>
              <a:t>Faturamento por Tipo</a:t>
            </a:r>
          </a:p>
        </c:rich>
      </c:tx>
      <c:layout/>
    </c:title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D̳ashboard!$C$32:$C$34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D̳ashboard!$D$31:$D$34</c:f>
              <c:numCache>
                <c:formatCode>\R\$\ #,##0.00</c:formatCode>
                <c:ptCount val="4"/>
                <c:pt idx="1">
                  <c:v>3571</c:v>
                </c:pt>
                <c:pt idx="2">
                  <c:v>2308</c:v>
                </c:pt>
                <c:pt idx="3">
                  <c:v>1754</c:v>
                </c:pt>
              </c:numCache>
            </c:numRef>
          </c:val>
        </c:ser>
        <c:axId val="105108224"/>
        <c:axId val="105109760"/>
      </c:barChart>
      <c:catAx>
        <c:axId val="105108224"/>
        <c:scaling>
          <c:orientation val="minMax"/>
        </c:scaling>
        <c:axPos val="b"/>
        <c:majorTickMark val="none"/>
        <c:tickLblPos val="nextTo"/>
        <c:crossAx val="105109760"/>
        <c:crosses val="autoZero"/>
        <c:lblAlgn val="ctr"/>
        <c:lblOffset val="100"/>
      </c:catAx>
      <c:valAx>
        <c:axId val="10510976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05108224"/>
        <c:crosses val="autoZero"/>
        <c:crossBetween val="between"/>
      </c:valAx>
    </c:plotArea>
    <c:plotVisOnly val="1"/>
    <c:dispBlanksAs val="gap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  <a:ln>
          <a:prstDash val="solid"/>
        </a:ln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/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4" name="Gráfico 13"/>
          <xdr:cNvPicPr>
            <a:picLocks noChangeAspect="1"/>
          </xdr:cNvPicPr>
        </xdr:nvPicPr>
        <xdr:blipFill>
          <a:blip xmlns:r="http://schemas.openxmlformats.org/officeDocument/2006/relationships" r:embed="rId5" cstate="print"/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15</xdr:row>
      <xdr:rowOff>0</xdr:rowOff>
    </xdr:from>
    <xdr:ext cx="414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15</xdr:row>
      <xdr:rowOff>0</xdr:rowOff>
    </xdr:from>
    <xdr:ext cx="342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0</xdr:colOff>
      <xdr:row>35</xdr:row>
      <xdr:rowOff>0</xdr:rowOff>
    </xdr:from>
    <xdr:ext cx="4140000" cy="270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2</xdr:row>
      <xdr:rowOff>0</xdr:rowOff>
    </xdr:from>
    <xdr:ext cx="1238250" cy="3238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ela1" displayName="Tabela1" ref="A1:M296" totalsRowShown="0" dataDxfId="13">
  <autoFilter ref="A1:M296">
    <filterColumn colId="7">
      <filters>
        <filter val="Yes"/>
      </filters>
    </filterColumn>
  </autoFilter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&#10;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749992370372631"/>
  </sheetPr>
  <dimension ref="B3:P21"/>
  <sheetViews>
    <sheetView showGridLines="0" topLeftCell="A9" workbookViewId="0">
      <selection activeCell="D31" sqref="D31"/>
    </sheetView>
  </sheetViews>
  <sheetFormatPr defaultRowHeight="14.25"/>
  <cols>
    <col min="9" max="9" width="3.625" customWidth="1"/>
  </cols>
  <sheetData>
    <row r="3" spans="2:16" ht="20.25" customHeight="1" thickBot="1">
      <c r="B3" s="1" t="s">
        <v>0</v>
      </c>
      <c r="C3" s="1"/>
      <c r="D3" s="1"/>
      <c r="E3" s="1"/>
      <c r="F3" s="1"/>
      <c r="G3" s="1"/>
      <c r="H3" s="1"/>
    </row>
    <row r="4" spans="2:16" ht="15" customHeight="1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customHeight="1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customHeight="1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 customHeight="1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3" tint="0.749992370372631"/>
  </sheetPr>
  <dimension ref="B2:F19"/>
  <sheetViews>
    <sheetView showGridLines="0" workbookViewId="0">
      <selection sqref="A1:XFD1048576"/>
    </sheetView>
  </sheetViews>
  <sheetFormatPr defaultRowHeight="14.25"/>
  <cols>
    <col min="1" max="1" width="3" customWidth="1"/>
    <col min="2" max="2" width="60" customWidth="1"/>
    <col min="3" max="3" width="20" bestFit="1" customWidth="1"/>
    <col min="4" max="4" width="4" bestFit="1" customWidth="1"/>
    <col min="5" max="5" width="4" customWidth="1"/>
    <col min="6" max="6" width="4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2" spans="2:6" ht="21">
      <c r="B2" s="22" t="s">
        <v>313</v>
      </c>
      <c r="C2" s="21"/>
      <c r="D2" s="21"/>
      <c r="E2" s="21"/>
      <c r="F2" s="21"/>
    </row>
    <row r="4" spans="2:6" ht="15">
      <c r="B4" s="20" t="s">
        <v>314</v>
      </c>
      <c r="C4" s="21"/>
      <c r="D4" s="21"/>
      <c r="E4" s="21"/>
      <c r="F4" s="21"/>
    </row>
    <row r="5" spans="2:6">
      <c r="B5" t="s">
        <v>315</v>
      </c>
      <c r="C5" s="12">
        <f>SUMIF(B̳ases!$G$2:$G$296,"Annual",B̳ases!$M$2:$M$296)</f>
        <v>1754</v>
      </c>
    </row>
    <row r="8" spans="2:6" ht="15">
      <c r="B8" s="20" t="s">
        <v>316</v>
      </c>
      <c r="C8" s="21"/>
      <c r="D8" s="21"/>
      <c r="E8" s="21"/>
      <c r="F8" s="21"/>
    </row>
    <row r="9" spans="2:6" ht="15">
      <c r="B9" s="13" t="s">
        <v>15</v>
      </c>
      <c r="C9" s="13" t="s">
        <v>317</v>
      </c>
    </row>
    <row r="10" spans="2:6">
      <c r="B10" t="s">
        <v>30</v>
      </c>
      <c r="C10" s="12">
        <f>SUMIFS(B̳ases!$M$2:$M$296,B̳ases!$G$2:$G$296,"Annual",B̳ases!$E$2:$E$296,B10)</f>
        <v>217</v>
      </c>
    </row>
    <row r="11" spans="2:6">
      <c r="B11" t="s">
        <v>26</v>
      </c>
      <c r="C11" s="12">
        <f>SUMIFS(B̳ases!$M$2:$M$296,B̳ases!$G$2:$G$296,"Annual",B̳ases!$E$2:$E$296,B11)</f>
        <v>1537</v>
      </c>
    </row>
    <row r="14" spans="2:6" ht="15">
      <c r="B14" s="20" t="s">
        <v>318</v>
      </c>
      <c r="C14" s="21"/>
      <c r="D14" s="21"/>
      <c r="E14" s="21"/>
      <c r="F14" s="21"/>
    </row>
    <row r="15" spans="2:6">
      <c r="B15" t="s">
        <v>319</v>
      </c>
      <c r="C15" s="12">
        <f>SUM(B̳ases!$I$2:$I$296)</f>
        <v>2940</v>
      </c>
    </row>
    <row r="18" spans="2:6" ht="15">
      <c r="B18" s="20" t="s">
        <v>320</v>
      </c>
      <c r="C18" s="21"/>
      <c r="D18" s="21"/>
      <c r="E18" s="21"/>
      <c r="F18" s="21"/>
    </row>
    <row r="19" spans="2:6">
      <c r="B19" t="s">
        <v>321</v>
      </c>
      <c r="C19" s="12">
        <f>SUM(B̳ases!$K$2:$K$296)</f>
        <v>3880</v>
      </c>
    </row>
  </sheetData>
  <mergeCells count="5">
    <mergeCell ref="B4:F4"/>
    <mergeCell ref="B2:F2"/>
    <mergeCell ref="B14:F14"/>
    <mergeCell ref="B8:F8"/>
    <mergeCell ref="B18:F18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S49"/>
  <sheetViews>
    <sheetView showGridLines="0" tabSelected="1" zoomScale="80" zoomScaleNormal="80" workbookViewId="0">
      <selection activeCell="AB12" sqref="AB12"/>
    </sheetView>
  </sheetViews>
  <sheetFormatPr defaultRowHeight="14.25"/>
  <cols>
    <col min="1" max="2" width="4.625" customWidth="1"/>
    <col min="3" max="3" width="8.875" bestFit="1" customWidth="1"/>
    <col min="4" max="4" width="11.5" bestFit="1" customWidth="1"/>
    <col min="5" max="10" width="4.625" customWidth="1"/>
    <col min="11" max="11" width="23.625" bestFit="1" customWidth="1"/>
    <col min="12" max="12" width="11.5" customWidth="1"/>
    <col min="13" max="19" width="4.625" customWidth="1"/>
  </cols>
  <sheetData>
    <row r="1" spans="1:19" ht="20.100000000000001" customHeight="1">
      <c r="A1" s="14"/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ht="20.100000000000001" customHeight="1">
      <c r="A2" s="14"/>
      <c r="B2" s="14"/>
      <c r="C2" s="23" t="s">
        <v>322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5"/>
    </row>
    <row r="3" spans="1:19" ht="20.100000000000001" customHeight="1">
      <c r="A3" s="14"/>
      <c r="B3" s="14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15"/>
    </row>
    <row r="4" spans="1:19" ht="20.100000000000001" customHeight="1">
      <c r="A4" s="14"/>
      <c r="B4" s="14"/>
      <c r="C4" s="36" t="s">
        <v>323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15"/>
    </row>
    <row r="5" spans="1:19" ht="20.100000000000001" customHeight="1">
      <c r="A5" s="14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 ht="20.100000000000001" customHeight="1">
      <c r="A6" s="14"/>
      <c r="B6" s="14"/>
      <c r="C6" s="25" t="s">
        <v>324</v>
      </c>
      <c r="D6" s="26"/>
      <c r="E6" s="26"/>
      <c r="F6" s="27"/>
      <c r="G6" s="25" t="s">
        <v>325</v>
      </c>
      <c r="H6" s="26"/>
      <c r="I6" s="26"/>
      <c r="J6" s="27"/>
      <c r="K6" s="25" t="s">
        <v>326</v>
      </c>
      <c r="L6" s="26"/>
      <c r="M6" s="26"/>
      <c r="N6" s="27"/>
      <c r="O6" s="25" t="s">
        <v>327</v>
      </c>
      <c r="P6" s="26"/>
      <c r="Q6" s="26"/>
      <c r="R6" s="27"/>
      <c r="S6" s="15"/>
    </row>
    <row r="7" spans="1:19" ht="20.100000000000001" customHeight="1">
      <c r="A7" s="14"/>
      <c r="B7" s="14"/>
      <c r="C7" s="28"/>
      <c r="D7" s="21"/>
      <c r="E7" s="21"/>
      <c r="F7" s="29"/>
      <c r="G7" s="28"/>
      <c r="H7" s="21"/>
      <c r="I7" s="21"/>
      <c r="J7" s="29"/>
      <c r="K7" s="28"/>
      <c r="L7" s="21"/>
      <c r="M7" s="21"/>
      <c r="N7" s="29"/>
      <c r="O7" s="28"/>
      <c r="P7" s="21"/>
      <c r="Q7" s="21"/>
      <c r="R7" s="29"/>
      <c r="S7" s="15"/>
    </row>
    <row r="8" spans="1:19" ht="20.100000000000001" customHeight="1">
      <c r="A8" s="14"/>
      <c r="B8" s="14"/>
      <c r="C8" s="31">
        <f>SUM(B̳ases!$M$2:$M$296)</f>
        <v>7633</v>
      </c>
      <c r="D8" s="21"/>
      <c r="E8" s="21"/>
      <c r="F8" s="29"/>
      <c r="G8" s="31">
        <f>C̳álculos!$C$5</f>
        <v>1754</v>
      </c>
      <c r="H8" s="21"/>
      <c r="I8" s="21"/>
      <c r="J8" s="29"/>
      <c r="K8" s="31">
        <f>C̳álculos!$C$15</f>
        <v>2940</v>
      </c>
      <c r="L8" s="21"/>
      <c r="M8" s="21"/>
      <c r="N8" s="29"/>
      <c r="O8" s="31">
        <f>C̳álculos!$C$19</f>
        <v>3880</v>
      </c>
      <c r="P8" s="21"/>
      <c r="Q8" s="21"/>
      <c r="R8" s="29"/>
      <c r="S8" s="15"/>
    </row>
    <row r="9" spans="1:19" ht="20.100000000000001" customHeight="1">
      <c r="A9" s="14"/>
      <c r="B9" s="14"/>
      <c r="C9" s="32"/>
      <c r="D9" s="33"/>
      <c r="E9" s="33"/>
      <c r="F9" s="34"/>
      <c r="G9" s="32"/>
      <c r="H9" s="33"/>
      <c r="I9" s="33"/>
      <c r="J9" s="34"/>
      <c r="K9" s="32"/>
      <c r="L9" s="33"/>
      <c r="M9" s="33"/>
      <c r="N9" s="34"/>
      <c r="O9" s="32"/>
      <c r="P9" s="33"/>
      <c r="Q9" s="33"/>
      <c r="R9" s="34"/>
      <c r="S9" s="15"/>
    </row>
    <row r="10" spans="1:19" ht="20.100000000000001" customHeight="1">
      <c r="A10" s="35" t="s">
        <v>328</v>
      </c>
      <c r="B10" s="21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ht="20.100000000000001" customHeight="1">
      <c r="A11" s="14"/>
      <c r="B11" s="14"/>
      <c r="C11" s="30" t="s">
        <v>329</v>
      </c>
      <c r="D11" s="21"/>
      <c r="E11" s="21"/>
      <c r="F11" s="21"/>
      <c r="G11" s="21"/>
      <c r="H11" s="21"/>
      <c r="I11" s="21"/>
      <c r="J11" s="21"/>
      <c r="K11" s="30" t="s">
        <v>330</v>
      </c>
      <c r="L11" s="21"/>
      <c r="M11" s="21"/>
      <c r="N11" s="21"/>
      <c r="O11" s="21"/>
      <c r="P11" s="21"/>
      <c r="Q11" s="21"/>
      <c r="R11" s="21"/>
      <c r="S11" s="15"/>
    </row>
    <row r="12" spans="1:19" ht="20.100000000000001" customHeight="1">
      <c r="A12" s="14"/>
      <c r="B12" s="14"/>
      <c r="C12" s="15" t="s">
        <v>29</v>
      </c>
      <c r="D12" s="17">
        <f>SUMIF(B̳ases!$C$2:$C$296,"Core",B̳ases!$M$2:$M$296)</f>
        <v>444</v>
      </c>
      <c r="E12" s="15"/>
      <c r="F12" s="15"/>
      <c r="G12" s="15"/>
      <c r="H12" s="15"/>
      <c r="I12" s="15"/>
      <c r="J12" s="15"/>
      <c r="K12" s="15" t="str">
        <f>C̳álculos!B10</f>
        <v>No</v>
      </c>
      <c r="L12" s="17">
        <f>C̳álculos!C10</f>
        <v>217</v>
      </c>
      <c r="M12" s="15"/>
      <c r="N12" s="15"/>
      <c r="O12" s="15"/>
      <c r="P12" s="15"/>
      <c r="Q12" s="15"/>
      <c r="R12" s="15"/>
      <c r="S12" s="15"/>
    </row>
    <row r="13" spans="1:19" ht="20.100000000000001" customHeight="1">
      <c r="A13" s="35" t="s">
        <v>331</v>
      </c>
      <c r="B13" s="21"/>
      <c r="C13" s="15" t="s">
        <v>34</v>
      </c>
      <c r="D13" s="17">
        <f>SUMIF(B̳ases!$C$2:$C$296,"Standard",B̳ases!$M$2:$M$296)</f>
        <v>1801</v>
      </c>
      <c r="E13" s="15"/>
      <c r="F13" s="15"/>
      <c r="G13" s="15"/>
      <c r="H13" s="15"/>
      <c r="I13" s="15"/>
      <c r="J13" s="15"/>
      <c r="K13" s="15" t="str">
        <f>C̳álculos!B11</f>
        <v>Yes</v>
      </c>
      <c r="L13" s="17">
        <f>C̳álculos!C11</f>
        <v>1537</v>
      </c>
      <c r="M13" s="15"/>
      <c r="N13" s="15"/>
      <c r="O13" s="15"/>
      <c r="P13" s="15"/>
      <c r="Q13" s="15"/>
      <c r="R13" s="15"/>
      <c r="S13" s="15"/>
    </row>
    <row r="14" spans="1:19" ht="20.100000000000001" customHeight="1">
      <c r="A14" s="14"/>
      <c r="B14" s="14"/>
      <c r="C14" s="15" t="s">
        <v>25</v>
      </c>
      <c r="D14" s="17">
        <f>SUMIF(B̳ases!$C$2:$C$296,"Ultimate",B̳ases!$M$2:$M$296)</f>
        <v>5388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ht="20.100000000000001" customHeight="1">
      <c r="A15" s="14"/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ht="20.100000000000001" customHeight="1">
      <c r="A16" s="35" t="s">
        <v>332</v>
      </c>
      <c r="B16" s="2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 ht="20.100000000000001" customHeight="1">
      <c r="A17" s="14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 ht="20.100000000000001" customHeight="1">
      <c r="A18" s="14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ht="20.100000000000001" customHeight="1">
      <c r="A19" s="14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 ht="20.100000000000001" customHeight="1">
      <c r="A20" s="14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1:19" ht="20.100000000000001" customHeight="1">
      <c r="A21" s="14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1:19" ht="20.100000000000001" customHeight="1">
      <c r="A22" s="14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spans="1:19" ht="20.100000000000001" customHeight="1">
      <c r="A23" s="14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1:19" ht="20.100000000000001" customHeight="1">
      <c r="A24" s="14"/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1:19" ht="20.100000000000001" customHeight="1">
      <c r="A25" s="14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19" ht="20.100000000000001" customHeight="1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1:19" ht="20.100000000000001" customHeight="1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spans="1:19" ht="20.100000000000001" customHeight="1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1:19" ht="20.100000000000001" customHeight="1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spans="1:19" ht="20.100000000000001" customHeight="1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19" ht="20.100000000000001" customHeight="1">
      <c r="A31" s="14"/>
      <c r="B31" s="14"/>
      <c r="C31" s="30" t="s">
        <v>333</v>
      </c>
      <c r="D31" s="21"/>
      <c r="E31" s="21"/>
      <c r="F31" s="21"/>
      <c r="G31" s="21"/>
      <c r="H31" s="21"/>
      <c r="I31" s="21"/>
      <c r="J31" s="21"/>
      <c r="K31" s="30" t="s">
        <v>334</v>
      </c>
      <c r="L31" s="21"/>
      <c r="M31" s="21"/>
      <c r="N31" s="21"/>
      <c r="O31" s="21"/>
      <c r="P31" s="21"/>
      <c r="Q31" s="21"/>
      <c r="R31" s="21"/>
      <c r="S31" s="15"/>
    </row>
    <row r="32" spans="1:19" ht="20.100000000000001" customHeight="1">
      <c r="A32" s="14"/>
      <c r="B32" s="14"/>
      <c r="C32" s="15" t="s">
        <v>27</v>
      </c>
      <c r="D32" s="17">
        <f>SUMIF(B̳ases!$G$2:$G$296,"Monthly",B̳ases!$M$2:$M$296)</f>
        <v>3571</v>
      </c>
      <c r="E32" s="15"/>
      <c r="F32" s="15"/>
      <c r="G32" s="15"/>
      <c r="H32" s="15"/>
      <c r="I32" s="15"/>
      <c r="J32" s="15"/>
      <c r="K32" s="18" t="s">
        <v>335</v>
      </c>
      <c r="L32" s="16">
        <f>COUNTA(B̳ases!$A$2:$A$296)</f>
        <v>295</v>
      </c>
      <c r="M32" s="15"/>
      <c r="N32" s="15"/>
      <c r="O32" s="15"/>
      <c r="P32" s="15"/>
      <c r="Q32" s="15"/>
      <c r="R32" s="15"/>
      <c r="S32" s="15"/>
    </row>
    <row r="33" spans="1:19" ht="20.100000000000001" customHeight="1">
      <c r="A33" s="14"/>
      <c r="B33" s="14"/>
      <c r="C33" s="15" t="s">
        <v>35</v>
      </c>
      <c r="D33" s="17">
        <f>SUMIF(B̳ases!$G$2:$G$296,"Quarterly",B̳ases!$M$2:$M$296)</f>
        <v>2308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spans="1:19" ht="20.100000000000001" customHeight="1">
      <c r="A34" s="14"/>
      <c r="B34" s="14"/>
      <c r="C34" s="15" t="s">
        <v>31</v>
      </c>
      <c r="D34" s="17">
        <f>SUMIF(B̳ases!$G$2:$G$296,"Annual",B̳ases!$M$2:$M$296)</f>
        <v>1754</v>
      </c>
      <c r="E34" s="15"/>
      <c r="F34" s="15"/>
      <c r="G34" s="15"/>
      <c r="H34" s="15"/>
      <c r="I34" s="15"/>
      <c r="J34" s="15"/>
      <c r="K34" s="18" t="s">
        <v>336</v>
      </c>
      <c r="L34" s="16" t="s">
        <v>25</v>
      </c>
      <c r="M34" s="15"/>
      <c r="N34" s="15"/>
      <c r="O34" s="15"/>
      <c r="P34" s="15"/>
      <c r="Q34" s="15"/>
      <c r="R34" s="15"/>
      <c r="S34" s="15"/>
    </row>
    <row r="35" spans="1:19" ht="20.100000000000001" customHeight="1">
      <c r="A35" s="14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spans="1:19" ht="20.100000000000001" customHeight="1">
      <c r="A36" s="14"/>
      <c r="B36" s="14"/>
      <c r="C36" s="15"/>
      <c r="D36" s="15"/>
      <c r="E36" s="15"/>
      <c r="F36" s="15"/>
      <c r="G36" s="15"/>
      <c r="H36" s="15"/>
      <c r="I36" s="15"/>
      <c r="J36" s="15"/>
      <c r="K36" s="18" t="s">
        <v>337</v>
      </c>
      <c r="L36" s="19">
        <f>C̳álculos!$C$15+C̳álculos!$C$19</f>
        <v>6820</v>
      </c>
      <c r="M36" s="15"/>
      <c r="N36" s="15"/>
      <c r="O36" s="15"/>
      <c r="P36" s="15"/>
      <c r="Q36" s="15"/>
      <c r="R36" s="15"/>
      <c r="S36" s="15"/>
    </row>
    <row r="37" spans="1:19" ht="20.100000000000001" customHeight="1">
      <c r="A37" s="14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ht="20.100000000000001" customHeight="1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ht="20.100000000000001" customHeight="1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ht="20.100000000000001" customHeight="1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ht="20.100000000000001" customHeight="1">
      <c r="A41" s="14"/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ht="20.100000000000001" customHeight="1">
      <c r="A42" s="14"/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ht="20.100000000000001" customHeight="1">
      <c r="A43" s="14"/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ht="20.100000000000001" customHeight="1">
      <c r="A44" s="14"/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ht="20.100000000000001" customHeight="1">
      <c r="A45" s="14"/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ht="20.100000000000001" customHeight="1">
      <c r="A46" s="14"/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ht="20.100000000000001" customHeight="1">
      <c r="A47" s="14"/>
      <c r="B47" s="14"/>
      <c r="C47" s="24" t="s">
        <v>338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15"/>
    </row>
    <row r="48" spans="1:19" ht="20.100000000000001" customHeight="1">
      <c r="A48" s="14"/>
      <c r="B48" s="1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"/>
    </row>
    <row r="49" spans="1:19" ht="20.100000000000001" customHeight="1">
      <c r="A49" s="14"/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</sheetData>
  <mergeCells count="18">
    <mergeCell ref="A13:B13"/>
    <mergeCell ref="C4:R4"/>
    <mergeCell ref="C6:F7"/>
    <mergeCell ref="G6:J7"/>
    <mergeCell ref="A16:B16"/>
    <mergeCell ref="K8:N9"/>
    <mergeCell ref="C8:F9"/>
    <mergeCell ref="C11:J11"/>
    <mergeCell ref="G8:J9"/>
    <mergeCell ref="A10:B10"/>
    <mergeCell ref="C2:R3"/>
    <mergeCell ref="C47:R48"/>
    <mergeCell ref="K6:N7"/>
    <mergeCell ref="K31:R31"/>
    <mergeCell ref="C31:J31"/>
    <mergeCell ref="O6:R7"/>
    <mergeCell ref="O8:R9"/>
    <mergeCell ref="K11:R1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micro</cp:lastModifiedBy>
  <dcterms:created xsi:type="dcterms:W3CDTF">2024-12-19T13:13:10Z</dcterms:created>
  <dcterms:modified xsi:type="dcterms:W3CDTF">2026-09-26T15:54:07Z</dcterms:modified>
</cp:coreProperties>
</file>